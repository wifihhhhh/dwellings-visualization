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na\Desktop\其它\个人活动\计算机应用能力\visual_proj\data\"/>
    </mc:Choice>
  </mc:AlternateContent>
  <xr:revisionPtr revIDLastSave="0" documentId="13_ncr:1_{B2A53C7A-26AE-42A2-8002-DEAC6C53F76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</calcChain>
</file>

<file path=xl/sharedStrings.xml><?xml version="1.0" encoding="utf-8"?>
<sst xmlns="http://schemas.openxmlformats.org/spreadsheetml/2006/main" count="26" uniqueCount="26">
  <si>
    <t>民居类型</t>
  </si>
  <si>
    <t>屋顶坡度(°)</t>
  </si>
  <si>
    <t>墙体厚度(mm)</t>
  </si>
  <si>
    <t>北京四合院</t>
  </si>
  <si>
    <t>徽派民居</t>
  </si>
  <si>
    <t>岭南骑楼</t>
  </si>
  <si>
    <t>傣族竹楼</t>
  </si>
  <si>
    <t>陕北窑洞</t>
  </si>
  <si>
    <t>所处地</t>
    <phoneticPr fontId="1" type="noConversion"/>
  </si>
  <si>
    <t>北京</t>
    <phoneticPr fontId="1" type="noConversion"/>
  </si>
  <si>
    <t>安徽</t>
    <phoneticPr fontId="1" type="noConversion"/>
  </si>
  <si>
    <t>广东</t>
    <phoneticPr fontId="1" type="noConversion"/>
  </si>
  <si>
    <t>云南</t>
    <phoneticPr fontId="1" type="noConversion"/>
  </si>
  <si>
    <t>陕西</t>
    <phoneticPr fontId="1" type="noConversion"/>
  </si>
  <si>
    <t>建筑结构</t>
    <phoneticPr fontId="1" type="noConversion"/>
  </si>
  <si>
    <t>抬梁式木结构</t>
  </si>
  <si>
    <t>砖木混合结构</t>
  </si>
  <si>
    <t>砖木结构</t>
  </si>
  <si>
    <t>干栏式竹木结构</t>
  </si>
  <si>
    <t>拱券 - 崖壁复合结构</t>
  </si>
  <si>
    <t>抗震等级</t>
    <phoneticPr fontId="1" type="noConversion"/>
  </si>
  <si>
    <t>使用面积占比</t>
    <phoneticPr fontId="1" type="noConversion"/>
  </si>
  <si>
    <t>层数利用率</t>
    <phoneticPr fontId="1" type="noConversion"/>
  </si>
  <si>
    <t>功能区紧凑度</t>
    <phoneticPr fontId="1" type="noConversion"/>
  </si>
  <si>
    <t>家具适配率</t>
    <phoneticPr fontId="1" type="noConversion"/>
  </si>
  <si>
    <t>空间利用率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</si>
</sst>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theme="9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2" fillId="2" borderId="0" xfId="0" applyFont="1" applyFill="1" applyBorder="1"/>
    <xf numFmtId="0" fontId="0" fillId="3" borderId="0" xfId="0" applyFill="1" applyBorder="1"/>
    <xf numFmtId="0" fontId="0" fillId="4" borderId="0" xfId="0" applyFill="1" applyBorder="1"/>
    <xf numFmtId="0" fontId="0" fillId="5" borderId="0" xfId="0" applyFill="1"/>
    <xf numFmtId="0" fontId="2" fillId="6" borderId="0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G13" sqref="G13"/>
    </sheetView>
  </sheetViews>
  <sheetFormatPr defaultRowHeight="13.9" x14ac:dyDescent="0.4"/>
  <cols>
    <col min="5" max="5" width="18.1328125" customWidth="1"/>
    <col min="7" max="7" width="11.86328125" customWidth="1"/>
  </cols>
  <sheetData>
    <row r="1" spans="1:11" x14ac:dyDescent="0.4">
      <c r="A1" s="1" t="s">
        <v>0</v>
      </c>
      <c r="B1" s="2" t="s">
        <v>8</v>
      </c>
      <c r="C1" s="2" t="s">
        <v>1</v>
      </c>
      <c r="D1" s="2" t="s">
        <v>2</v>
      </c>
      <c r="E1" s="7" t="s">
        <v>14</v>
      </c>
      <c r="F1" s="7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7" t="s">
        <v>25</v>
      </c>
    </row>
    <row r="2" spans="1:11" x14ac:dyDescent="0.4">
      <c r="A2" s="3" t="s">
        <v>3</v>
      </c>
      <c r="B2" s="4" t="s">
        <v>9</v>
      </c>
      <c r="C2" s="4">
        <v>27.5</v>
      </c>
      <c r="D2" s="4">
        <v>600</v>
      </c>
      <c r="E2" s="4" t="s">
        <v>15</v>
      </c>
      <c r="F2" s="4">
        <v>7.5</v>
      </c>
      <c r="G2" s="9">
        <v>0.75</v>
      </c>
      <c r="H2" s="9">
        <v>1</v>
      </c>
      <c r="I2" s="9">
        <v>0.65</v>
      </c>
      <c r="J2" s="9">
        <v>0.5</v>
      </c>
      <c r="K2" s="8">
        <f>0.3*(G2+I2)+0.2*(H2+J2)</f>
        <v>0.72</v>
      </c>
    </row>
    <row r="3" spans="1:11" x14ac:dyDescent="0.4">
      <c r="A3" s="5" t="s">
        <v>4</v>
      </c>
      <c r="B3" s="6" t="s">
        <v>10</v>
      </c>
      <c r="C3" s="6">
        <v>30</v>
      </c>
      <c r="D3" s="6">
        <v>500</v>
      </c>
      <c r="E3" t="s">
        <v>16</v>
      </c>
      <c r="F3">
        <v>7.5</v>
      </c>
      <c r="G3" s="10">
        <v>0.8</v>
      </c>
      <c r="H3" s="10">
        <v>0.7</v>
      </c>
      <c r="I3" s="10">
        <v>0.75</v>
      </c>
      <c r="J3" s="10">
        <v>0.55000000000000004</v>
      </c>
      <c r="K3">
        <f t="shared" ref="K3:K6" si="0">0.3*(G3+I3)+0.2*(H3+J3)</f>
        <v>0.71499999999999997</v>
      </c>
    </row>
    <row r="4" spans="1:11" x14ac:dyDescent="0.4">
      <c r="A4" s="3" t="s">
        <v>5</v>
      </c>
      <c r="B4" s="4" t="s">
        <v>11</v>
      </c>
      <c r="C4" s="4">
        <v>17.5</v>
      </c>
      <c r="D4" s="4">
        <v>350</v>
      </c>
      <c r="E4" s="4" t="s">
        <v>17</v>
      </c>
      <c r="F4" s="4">
        <v>6.5</v>
      </c>
      <c r="G4" s="9">
        <v>0.85</v>
      </c>
      <c r="H4" s="9">
        <v>1</v>
      </c>
      <c r="I4" s="9">
        <v>0.78</v>
      </c>
      <c r="J4" s="9">
        <v>0.52</v>
      </c>
      <c r="K4" s="8">
        <f t="shared" si="0"/>
        <v>0.79299999999999993</v>
      </c>
    </row>
    <row r="5" spans="1:11" x14ac:dyDescent="0.4">
      <c r="A5" s="5" t="s">
        <v>6</v>
      </c>
      <c r="B5" s="6" t="s">
        <v>12</v>
      </c>
      <c r="C5" s="6">
        <v>37.5</v>
      </c>
      <c r="D5" s="6">
        <v>10</v>
      </c>
      <c r="E5" t="s">
        <v>18</v>
      </c>
      <c r="F5">
        <v>5.5</v>
      </c>
      <c r="G5" s="10">
        <v>0.82</v>
      </c>
      <c r="H5" s="10">
        <v>1</v>
      </c>
      <c r="I5" s="10">
        <v>0.85</v>
      </c>
      <c r="J5" s="10">
        <v>0.48</v>
      </c>
      <c r="K5">
        <f t="shared" si="0"/>
        <v>0.79699999999999993</v>
      </c>
    </row>
    <row r="6" spans="1:11" x14ac:dyDescent="0.4">
      <c r="A6" s="3" t="s">
        <v>7</v>
      </c>
      <c r="B6" s="4" t="s">
        <v>13</v>
      </c>
      <c r="C6" s="4">
        <v>0</v>
      </c>
      <c r="D6" s="4">
        <v>1500</v>
      </c>
      <c r="E6" s="4" t="s">
        <v>19</v>
      </c>
      <c r="F6" s="4">
        <v>6</v>
      </c>
      <c r="G6" s="9">
        <v>0.92</v>
      </c>
      <c r="H6" s="9">
        <v>1</v>
      </c>
      <c r="I6" s="9">
        <v>0.82</v>
      </c>
      <c r="J6" s="9">
        <v>0.53</v>
      </c>
      <c r="K6" s="8">
        <f t="shared" si="0"/>
        <v>0.82800000000000007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hhhhh</dc:creator>
  <cp:lastModifiedBy>yifei wang</cp:lastModifiedBy>
  <dcterms:created xsi:type="dcterms:W3CDTF">2015-06-05T18:19:34Z</dcterms:created>
  <dcterms:modified xsi:type="dcterms:W3CDTF">2025-11-21T08:27:11Z</dcterms:modified>
</cp:coreProperties>
</file>